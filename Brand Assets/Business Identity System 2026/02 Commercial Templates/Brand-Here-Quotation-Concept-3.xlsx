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b385010fd84b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ation" sheetId="1" r:id="R3d16b64ecc4e4547"/>
    <x:sheet xmlns:r="http://schemas.openxmlformats.org/officeDocument/2006/relationships" name="Price Builder" sheetId="2" r:id="Re875abed58174e99"/>
    <x:sheet xmlns:r="http://schemas.openxmlformats.org/officeDocument/2006/relationships" name="Terms &amp; Instructions" sheetId="3" r:id="Ref98523cbc3945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#,##0 &quot;VND&quot;"/>
    <x:numFmt numFmtId="202" formatCode="0"/>
  </x:numFmts>
  <x:fonts count="14">
    <x:font>
      <x:sz val="11"/>
      <x:name val="Carlito"/>
    </x:font>
    <x:font>
      <x:sz val="9"/>
      <x:color rgb="FF2D2926"/>
      <x:name val="Manrope"/>
    </x:font>
    <x:font>
      <x:b/>
      <x:sz val="10"/>
      <x:color rgb="FFF3F0E8"/>
      <x:name val="Manrope"/>
    </x:font>
    <x:font>
      <x:sz val="22"/>
      <x:color rgb="FF2D2926"/>
      <x:name val="Cormorant Garamond"/>
    </x:font>
    <x:font>
      <x:sz val="9"/>
      <x:color rgb="FF716D68"/>
      <x:name val="Manrope"/>
    </x:font>
    <x:font>
      <x:b/>
      <x:sz val="8"/>
      <x:color rgb="FFE03C31"/>
      <x:name val="Manrope"/>
    </x:font>
    <x:font>
      <x:b/>
      <x:sz val="8"/>
      <x:color rgb="FFF3F0E8"/>
      <x:name val="Manrope"/>
    </x:font>
    <x:font>
      <x:b/>
      <x:sz val="9"/>
      <x:color rgb="FF2D2926"/>
      <x:name val="Manrope"/>
    </x:font>
    <x:font>
      <x:b/>
      <x:sz val="11"/>
      <x:color rgb="FFFFFFFF"/>
      <x:name val="Manrope"/>
    </x:font>
    <x:font>
      <x:sz val="8"/>
      <x:color rgb="FF716D68"/>
      <x:name val="Manrope"/>
    </x:font>
    <x:font>
      <x:sz val="20"/>
      <x:color rgb="FFF3F0E8"/>
      <x:name val="Cormorant Garamond"/>
    </x:font>
    <x:font>
      <x:b/>
      <x:sz val="8"/>
      <x:color rgb="FFFFFFFF"/>
      <x:name val="Manrope"/>
    </x:font>
    <x:font>
      <x:b/>
      <x:sz val="9"/>
      <x:color rgb="FFFFFFFF"/>
      <x:name val="Manrope"/>
    </x:font>
    <x:font>
      <x:b/>
      <x:sz val="10"/>
      <x:color rgb="FF2D2926"/>
      <x:name val="Manrope"/>
    </x:font>
  </x:fonts>
  <x:fills count="7">
    <x:fill>
      <x:patternFill patternType="none"/>
    </x:fill>
    <x:fill>
      <x:patternFill patternType="gray125"/>
    </x:fill>
    <x:fill>
      <x:patternFill patternType="solid">
        <x:fgColor rgb="FF2D2926"/>
      </x:patternFill>
    </x:fill>
    <x:fill>
      <x:patternFill patternType="solid">
        <x:fgColor rgb="FFF3F0E8"/>
      </x:patternFill>
    </x:fill>
    <x:fill>
      <x:patternFill patternType="solid">
        <x:fgColor rgb="FFDDEBFF"/>
      </x:patternFill>
    </x:fill>
    <x:fill>
      <x:patternFill patternType="solid">
        <x:fgColor rgb="FFE8E4DA"/>
      </x:patternFill>
    </x:fill>
    <x:fill>
      <x:patternFill patternType="solid">
        <x:fgColor rgb="FFE03C31"/>
      </x:patternFill>
    </x:fill>
  </x:fills>
  <x:borders count="11">
    <x:border/>
    <x:border>
      <x:right style="thin">
        <x:color rgb="FFD6D2C4"/>
      </x:right>
      <x:bottom style="thin">
        <x:color rgb="FFD6D2C4"/>
      </x:bottom>
    </x:border>
    <x:border>
      <x:left style="thin">
        <x:color rgb="FFD6D2C4"/>
      </x:left>
      <x:right style="thin">
        <x:color rgb="FFD6D2C4"/>
      </x:right>
      <x:bottom style="thin">
        <x:color rgb="FFD6D2C4"/>
      </x:bottom>
    </x:border>
    <x:border>
      <x:left style="thin">
        <x:color rgb="FFD6D2C4"/>
      </x:left>
      <x:bottom style="thin">
        <x:color rgb="FFD6D2C4"/>
      </x:bottom>
    </x:border>
    <x:border>
      <x:right style="thin">
        <x:color rgb="FFD6D2C4"/>
      </x:right>
      <x:top style="thin">
        <x:color rgb="FFD6D2C4"/>
      </x:top>
      <x:bottom style="thin">
        <x:color rgb="FFD6D2C4"/>
      </x:bottom>
    </x:border>
    <x:border>
      <x:left style="thin">
        <x:color rgb="FFD6D2C4"/>
      </x:left>
      <x:right style="thin">
        <x:color rgb="FFD6D2C4"/>
      </x:right>
      <x:top style="thin">
        <x:color rgb="FFD6D2C4"/>
      </x:top>
      <x:bottom style="thin">
        <x:color rgb="FFD6D2C4"/>
      </x:bottom>
    </x:border>
    <x:border>
      <x:left style="thin">
        <x:color rgb="FFD6D2C4"/>
      </x:left>
      <x:top style="thin">
        <x:color rgb="FFD6D2C4"/>
      </x:top>
      <x:bottom style="thin">
        <x:color rgb="FFD6D2C4"/>
      </x:bottom>
    </x:border>
    <x:border>
      <x:right style="thin">
        <x:color rgb="FFD6D2C4"/>
      </x:right>
      <x:top style="thin">
        <x:color rgb="FFD6D2C4"/>
      </x:top>
    </x:border>
    <x:border>
      <x:left style="thin">
        <x:color rgb="FFD6D2C4"/>
      </x:left>
      <x:right style="thin">
        <x:color rgb="FFD6D2C4"/>
      </x:right>
      <x:top style="thin">
        <x:color rgb="FFD6D2C4"/>
      </x:top>
    </x:border>
    <x:border>
      <x:left style="thin">
        <x:color rgb="FFD6D2C4"/>
      </x:left>
      <x:top style="thin">
        <x:color rgb="FFD6D2C4"/>
      </x:top>
    </x:border>
    <x:border>
      <x:bottom style="thin">
        <x:color rgb="FFD6D2C4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5" fillId="3" borderId="0" xfId="0" applyNumberFormat="1" applyFont="1" applyFill="1" applyBorder="1"/>
    <x:xf numFmtId="0" fontId="1" fillId="4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2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5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8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0" xfId="0" applyNumberFormat="1" applyFont="1" applyFill="1" applyBorder="1"/>
    <x:xf numFmtId="0" fontId="1" fillId="6" borderId="0" xfId="0" applyNumberFormat="1" applyFont="1" applyFill="1" applyBorder="1"/>
    <x:xf numFmtId="0" fontId="8" fillId="6" borderId="0" xfId="0" applyNumberFormat="1" applyFont="1" applyFill="1" applyBorder="1"/>
    <x:xf numFmtId="200" fontId="1" fillId="3" borderId="0" xfId="0" applyNumberFormat="1" applyFont="1" applyFill="1" applyBorder="1"/>
    <x:xf numFmtId="201" fontId="1" fillId="0" borderId="0" xfId="0" applyNumberFormat="1" applyFont="1" applyFill="1" applyBorder="1"/>
    <x:xf numFmtId="201" fontId="7" fillId="5" borderId="10" xfId="0" applyNumberFormat="1" applyFont="1" applyFill="1" applyBorder="1"/>
    <x:xf numFmtId="201" fontId="5" fillId="3" borderId="0" xfId="0" applyNumberFormat="1" applyFont="1" applyFill="1" applyBorder="1"/>
    <x:xf numFmtId="201" fontId="1" fillId="3" borderId="0" xfId="0" applyNumberFormat="1" applyFont="1" applyFill="1" applyBorder="1"/>
    <x:xf numFmtId="201" fontId="8" fillId="6" borderId="0" xfId="0" applyNumberFormat="1" applyFont="1" applyFill="1" applyBorder="1"/>
    <x:xf numFmtId="202" fontId="1" fillId="0" borderId="0" xfId="0" applyNumberFormat="1" applyFont="1" applyFill="1" applyBorder="1"/>
    <x:xf numFmtId="202" fontId="7" fillId="5" borderId="10" xfId="0" applyNumberFormat="1" applyFont="1" applyFill="1" applyBorder="1"/>
    <x:xf numFmtId="202" fontId="5" fillId="3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201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201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5" fillId="3" borderId="3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201" fontId="7" fillId="5" borderId="10" xfId="0" applyNumberFormat="1" applyFont="1" applyFill="1" applyBorder="1" applyAlignment="1">
      <x:alignment wrapText="1"/>
    </x:xf>
    <x:xf numFmtId="202" fontId="7" fillId="5" borderId="10" xfId="0" applyNumberFormat="1" applyFont="1" applyFill="1" applyBorder="1" applyAlignment="1">
      <x:alignment wrapText="1"/>
    </x:xf>
    <x:xf numFmtId="201" fontId="5" fillId="3" borderId="0" xfId="0" applyNumberFormat="1" applyFont="1" applyFill="1" applyBorder="1" applyAlignment="1">
      <x:alignment wrapText="1"/>
    </x:xf>
    <x:xf numFmtId="202" fontId="5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201" fontId="1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201" fontId="8" fillId="6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201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201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1" fillId="6" borderId="0" xfId="0" applyNumberFormat="1" applyFont="1" applyFill="1" applyBorder="1"/>
    <x:xf numFmtId="200" fontId="1" fillId="0" borderId="0" xfId="0" applyNumberFormat="1" applyFont="1" applyFill="1" applyBorder="1"/>
    <x:xf numFmtId="201" fontId="1" fillId="4" borderId="0" xfId="0" applyNumberFormat="1" applyFont="1" applyFill="1" applyBorder="1"/>
    <x:xf numFmtId="200" fontId="1" fillId="4" borderId="0" xfId="0" applyNumberFormat="1" applyFont="1" applyFill="1" applyBorder="1"/>
    <x:xf numFmtId="0" fontId="2" fillId="2" borderId="0" xfId="0" applyNumberFormat="1" applyFont="1" applyFill="1" applyBorder="1"/>
    <x:xf numFmtId="201" fontId="2" fillId="2" borderId="0" xfId="0" applyNumberFormat="1" applyFont="1" applyFill="1" applyBorder="1"/>
    <x:xf numFmtId="0" fontId="12" fillId="6" borderId="0" xfId="0" applyNumberFormat="1" applyFont="1" applyFill="1" applyBorder="1"/>
    <x:xf numFmtId="0" fontId="13" fillId="3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bc9b049ebf4e1e" /><Relationship Type="http://schemas.openxmlformats.org/officeDocument/2006/relationships/theme" Target="/xl/theme/theme1.xml" Id="R6079b9c53f18402d" /><Relationship Type="http://schemas.openxmlformats.org/officeDocument/2006/relationships/sharedStrings" Target="/xl/sharedStrings.xml" Id="Rd2aa946a68934047" /><Relationship Type="http://schemas.openxmlformats.org/officeDocument/2006/relationships/worksheet" Target="/xl/worksheets/sheet1.xml" Id="R3d16b64ecc4e4547" /><Relationship Type="http://schemas.openxmlformats.org/officeDocument/2006/relationships/worksheet" Target="/xl/worksheets/sheet2.xml" Id="Re875abed58174e99" /><Relationship Type="http://schemas.openxmlformats.org/officeDocument/2006/relationships/worksheet" Target="/xl/worksheets/sheet3.xml" Id="Ref98523cbc3945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26e40bb8ef84151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809750" cy="361950"/>
    <xdr:pic>
      <xdr:nvPicPr>
        <xdr:cNvPr id="1" name="1f1ecfc5-c8b9-4509-9249-9ef9b3c2ad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6e40bb8ef841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b702626eeee4e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5" hidden="0" customWidth="1"/>
    <x:col min="3" max="3" width="42" hidden="0" customWidth="1"/>
    <x:col min="4" max="4" width="12" hidden="0" customWidth="1"/>
    <x:col min="5" max="5" width="18" hidden="0" customWidth="1"/>
    <x:col min="6" max="6" width="8" hidden="0" customWidth="1"/>
    <x:col min="7" max="7" width="21" hidden="0" customWidth="1"/>
    <x:col min="8" max="8" width="25" hidden="0" customWidth="1"/>
  </x:cols>
  <x:sheetData>
    <x:row r="1" ht="40" customHeight="1">
      <x:c r="A1" s="3"/>
      <x:c r="B1" s="3"/>
      <x:c r="C1" s="4" t="str">
        <x:v>HUMAN JUDGEMENT / BUSINESS IMPACT</x:v>
      </x:c>
      <x:c r="D1" s="4"/>
      <x:c r="E1" s="4"/>
      <x:c r="F1" s="4"/>
      <x:c r="G1" s="4"/>
      <x:c r="H1" s="4"/>
    </x:row>
    <x:row r="2" ht="34" customHeight="1">
      <x:c r="A2" s="6" t="str">
        <x:v>BÁO GIÁ DỊCH VỤ  ·  COMMERCIAL QUOTATION</x:v>
      </x:c>
      <x:c r="B2" s="6"/>
      <x:c r="C2" s="6"/>
      <x:c r="D2" s="6"/>
      <x:c r="E2" s="6"/>
      <x:c r="F2" s="6"/>
      <x:c r="G2" s="6"/>
      <x:c r="H2" s="6"/>
    </x:row>
    <x:row r="3" ht="22" customHeight="1">
      <x:c r="A3" s="7" t="str">
        <x:v>Tư vấn được tách riêng khỏi chi phí chuyên gia và bên thứ ba để bảo đảm minh bạch.</x:v>
      </x:c>
      <x:c r="B3" s="7"/>
      <x:c r="C3" s="7"/>
      <x:c r="D3" s="7"/>
      <x:c r="E3" s="7"/>
      <x:c r="F3" s="7"/>
      <x:c r="G3" s="7"/>
      <x:c r="H3" s="7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0" t="str">
        <x:v>KHÁCH HÀNG / CLIENT</x:v>
      </x:c>
      <x:c r="B5" s="11" t="str"/>
      <x:c r="C5" s="12" t="str">
        <x:v>[Tên khách hàng]</x:v>
      </x:c>
      <x:c r="D5" s="12" t="str"/>
      <x:c r="E5" s="11" t="str">
        <x:v>NGÀY LẬP / DATE</x:v>
      </x:c>
      <x:c r="F5" s="11" t="str"/>
      <x:c r="G5" s="12" t="str">
        <x:v>2026-08-29</x:v>
      </x:c>
      <x:c r="H5" s="13" t="str"/>
    </x:row>
    <x:row r="6">
      <x:c r="A6" s="14" t="str">
        <x:v>DỰ ÁN / PROJECT</x:v>
      </x:c>
      <x:c r="B6" s="15" t="str"/>
      <x:c r="C6" s="16" t="str">
        <x:v>[Tên dự án]</x:v>
      </x:c>
      <x:c r="D6" s="16" t="str"/>
      <x:c r="E6" s="15" t="str">
        <x:v>HIỆU LỰC / VALIDITY</x:v>
      </x:c>
      <x:c r="F6" s="15" t="str"/>
      <x:c r="G6" s="16" t="str">
        <x:v>30 ngày / days</x:v>
      </x:c>
      <x:c r="H6" s="17" t="str"/>
    </x:row>
    <x:row r="7">
      <x:c r="A7" s="14" t="str">
        <x:v>THỜI GIAN / PERIOD</x:v>
      </x:c>
      <x:c r="B7" s="15" t="str"/>
      <x:c r="C7" s="16" t="str">
        <x:v>[Bắt đầu – kết thúc]</x:v>
      </x:c>
      <x:c r="D7" s="16" t="str"/>
      <x:c r="E7" s="15" t="str">
        <x:v>PHIÊN BẢN / VERSION</x:v>
      </x:c>
      <x:c r="F7" s="15" t="str"/>
      <x:c r="G7" s="16" t="str">
        <x:v>V1</x:v>
      </x:c>
      <x:c r="H7" s="17" t="str"/>
    </x:row>
    <x:row r="8">
      <x:c r="A8" s="18" t="str">
        <x:v>NGƯỜI CHUẨN BỊ / PREPARED BY</x:v>
      </x:c>
      <x:c r="B8" s="19" t="str"/>
      <x:c r="C8" s="20" t="str">
        <x:v>Alton Nguyen · Brand Here</x:v>
      </x:c>
      <x:c r="D8" s="20" t="str"/>
      <x:c r="E8" s="19" t="str">
        <x:v>THAM CHIẾU / REF.</x:v>
      </x:c>
      <x:c r="F8" s="19" t="str"/>
      <x:c r="G8" s="20" t="str">
        <x:v>[BH-2026-000]</x:v>
      </x:c>
      <x:c r="H8" s="21" t="str"/>
    </x:row>
    <x:row r="9">
      <x:c r="A9" s="1"/>
      <x:c r="B9" s="1"/>
      <x:c r="C9" s="1"/>
      <x:c r="D9" s="1"/>
      <x:c r="E9" s="1"/>
      <x:c r="F9" s="1"/>
      <x:c r="G9" s="1"/>
      <x:c r="H9" s="1"/>
    </x:row>
    <x:row r="10" ht="34" customHeight="1">
      <x:c r="A10" s="24" t="str">
        <x:v>NO.</x:v>
      </x:c>
      <x:c r="B10" s="24" t="str">
        <x:v>HẠNG MỤC / ACTIVITY</x:v>
      </x:c>
      <x:c r="C10" s="24" t="str">
        <x:v>PHẠM VI / SCOPE</x:v>
      </x:c>
      <x:c r="D10" s="24" t="str">
        <x:v>ĐƠN VỊ / UNIT</x:v>
      </x:c>
      <x:c r="E10" s="24" t="str">
        <x:v>ĐƠN GIÁ / UNIT FEE</x:v>
      </x:c>
      <x:c r="F10" s="24" t="str">
        <x:v>SL / QTY</x:v>
      </x:c>
      <x:c r="G10" s="24" t="str">
        <x:v>THÀNH TIỀN / TOTAL</x:v>
      </x:c>
      <x:c r="H10" s="24" t="str">
        <x:v>GHI CHÚ / NOTES</x:v>
      </x:c>
    </x:row>
    <x:row r="11" ht="24" customHeight="1">
      <x:c r="A11" s="57" t="str">
        <x:v>A</x:v>
      </x:c>
      <x:c r="B11" s="57" t="str">
        <x:v>BRAND HERE CONSULTING FEE</x:v>
      </x:c>
      <x:c r="C11" s="57" t="str"/>
      <x:c r="D11" s="57" t="str"/>
      <x:c r="E11" s="57" t="str"/>
      <x:c r="F11" s="57" t="str"/>
      <x:c r="G11" s="57" t="str"/>
      <x:c r="H11" s="57" t="str"/>
    </x:row>
    <x:row r="12">
      <x:c r="A12" s="58" t="n">
        <x:v>1</x:v>
      </x:c>
      <x:c r="B12" s="58" t="str">
        <x:v>Discovery &amp; decision framing</x:v>
      </x:c>
      <x:c r="C12" s="58" t="str">
        <x:v>Interviews, context review and decision brief</x:v>
      </x:c>
      <x:c r="D12" s="58" t="str">
        <x:v>Package</x:v>
      </x:c>
      <x:c r="E12" s="59" t="n">
        <x:v>25000000</x:v>
      </x:c>
      <x:c r="F12" s="60" t="n">
        <x:v>1</x:v>
      </x:c>
      <x:c r="G12" s="59" t="n">
        <x:f>E12*F12</x:f>
        <x:v>25000000</x:v>
      </x:c>
      <x:c r="H12" s="58" t="str"/>
    </x:row>
    <x:row r="13">
      <x:c r="A13" s="58" t="n">
        <x:v>2</x:v>
      </x:c>
      <x:c r="B13" s="58" t="str">
        <x:v>Strategic direction</x:v>
      </x:c>
      <x:c r="C13" s="58" t="str">
        <x:v>Recommended choices, roadmap and leadership alignment</x:v>
      </x:c>
      <x:c r="D13" s="58" t="str">
        <x:v>Package</x:v>
      </x:c>
      <x:c r="E13" s="59" t="n">
        <x:v>45000000</x:v>
      </x:c>
      <x:c r="F13" s="60" t="n">
        <x:v>1</x:v>
      </x:c>
      <x:c r="G13" s="59" t="n">
        <x:f>E13*F13</x:f>
        <x:v>45000000</x:v>
      </x:c>
      <x:c r="H13" s="58" t="str"/>
    </x:row>
    <x:row r="14">
      <x:c r="A14" s="61" t="str"/>
      <x:c r="B14" s="61" t="str">
        <x:v>SUBTOTAL — CONSULTING</x:v>
      </x:c>
      <x:c r="C14" s="61" t="str"/>
      <x:c r="D14" s="61" t="str"/>
      <x:c r="E14" s="62" t="str"/>
      <x:c r="F14" s="63" t="str"/>
      <x:c r="G14" s="62" t="n">
        <x:f>SUM(G12:G13)</x:f>
        <x:v>70000000</x:v>
      </x:c>
      <x:c r="H14" s="61" t="str"/>
    </x:row>
    <x:row r="15" ht="24" customHeight="1">
      <x:c r="A15" s="57" t="str">
        <x:v>B</x:v>
      </x:c>
      <x:c r="B15" s="57" t="str">
        <x:v>EXPERT ADVISORY FEE</x:v>
      </x:c>
      <x:c r="C15" s="57" t="str"/>
      <x:c r="D15" s="57" t="str"/>
      <x:c r="E15" s="64" t="str"/>
      <x:c r="F15" s="65" t="str"/>
      <x:c r="G15" s="64" t="str"/>
      <x:c r="H15" s="57" t="str"/>
    </x:row>
    <x:row r="16">
      <x:c r="A16" s="58" t="n">
        <x:v>3</x:v>
      </x:c>
      <x:c r="B16" s="58" t="str">
        <x:v>Specialist advisory</x:v>
      </x:c>
      <x:c r="C16" s="58" t="str">
        <x:v>Governance, finance, technology or commerce expert</x:v>
      </x:c>
      <x:c r="D16" s="58" t="str">
        <x:v>Day</x:v>
      </x:c>
      <x:c r="E16" s="59" t="n">
        <x:v>12000000</x:v>
      </x:c>
      <x:c r="F16" s="60" t="n">
        <x:v>2</x:v>
      </x:c>
      <x:c r="G16" s="59" t="n">
        <x:f>E16*F16</x:f>
        <x:v>24000000</x:v>
      </x:c>
      <x:c r="H16" s="58" t="str">
        <x:v>Subject to approved scope</x:v>
      </x:c>
    </x:row>
    <x:row r="17">
      <x:c r="A17" s="61" t="str"/>
      <x:c r="B17" s="61" t="str">
        <x:v>SUBTOTAL — EXPERTS</x:v>
      </x:c>
      <x:c r="C17" s="61" t="str"/>
      <x:c r="D17" s="61" t="str"/>
      <x:c r="E17" s="62" t="str"/>
      <x:c r="F17" s="63" t="str"/>
      <x:c r="G17" s="62" t="n">
        <x:f>SUM(G16:G16)</x:f>
        <x:v>24000000</x:v>
      </x:c>
      <x:c r="H17" s="61" t="str"/>
    </x:row>
    <x:row r="18" ht="24" customHeight="1">
      <x:c r="A18" s="57" t="str">
        <x:v>C</x:v>
      </x:c>
      <x:c r="B18" s="57" t="str">
        <x:v>THIRD-PARTY COST</x:v>
      </x:c>
      <x:c r="C18" s="57" t="str"/>
      <x:c r="D18" s="57" t="str"/>
      <x:c r="E18" s="64" t="str"/>
      <x:c r="F18" s="65" t="str"/>
      <x:c r="G18" s="64" t="str"/>
      <x:c r="H18" s="57" t="str"/>
    </x:row>
    <x:row r="19">
      <x:c r="A19" s="58" t="n">
        <x:v>4</x:v>
      </x:c>
      <x:c r="B19" s="58" t="str">
        <x:v>Production / technology partner</x:v>
      </x:c>
      <x:c r="C19" s="58" t="str">
        <x:v>Approved external production, media or technology</x:v>
      </x:c>
      <x:c r="D19" s="58" t="str">
        <x:v>Package</x:v>
      </x:c>
      <x:c r="E19" s="59" t="n">
        <x:v>30000000</x:v>
      </x:c>
      <x:c r="F19" s="60" t="n">
        <x:v>1</x:v>
      </x:c>
      <x:c r="G19" s="59" t="n">
        <x:f>E19*F19</x:f>
        <x:v>30000000</x:v>
      </x:c>
      <x:c r="H19" s="58" t="str">
        <x:v>Quoted transparently</x:v>
      </x:c>
    </x:row>
    <x:row r="20">
      <x:c r="A20" s="61" t="str"/>
      <x:c r="B20" s="61" t="str">
        <x:v>SUBTOTAL — THIRD PARTY</x:v>
      </x:c>
      <x:c r="C20" s="61" t="str"/>
      <x:c r="D20" s="61" t="str"/>
      <x:c r="E20" s="62" t="str"/>
      <x:c r="F20" s="63" t="str"/>
      <x:c r="G20" s="62" t="n">
        <x:f>SUM(G19:G19)</x:f>
        <x:v>30000000</x:v>
      </x:c>
      <x:c r="H20" s="61" t="str"/>
    </x:row>
    <x:row r="21">
      <x:c r="A21" s="58"/>
      <x:c r="B21" s="58"/>
      <x:c r="C21" s="58"/>
      <x:c r="D21" s="58"/>
      <x:c r="E21" s="59"/>
      <x:c r="F21" s="58"/>
      <x:c r="G21" s="59"/>
      <x:c r="H21" s="58"/>
    </x:row>
    <x:row r="22">
      <x:c r="A22" s="66" t="str">
        <x:v>TỔNG PHÍ TRƯỚC THUẾ / FEE BEFORE VAT</x:v>
      </x:c>
      <x:c r="B22" s="66"/>
      <x:c r="C22" s="66"/>
      <x:c r="D22" s="66"/>
      <x:c r="E22" s="67"/>
      <x:c r="F22" s="66"/>
      <x:c r="G22" s="67" t="n">
        <x:f>G14+G17+G20</x:f>
        <x:v>124000000</x:v>
      </x:c>
      <x:c r="H22" s="58"/>
    </x:row>
    <x:row r="23">
      <x:c r="A23" s="66" t="str">
        <x:v>THUẾ GTGT / VAT</x:v>
      </x:c>
      <x:c r="B23" s="66"/>
      <x:c r="C23" s="66"/>
      <x:c r="D23" s="66"/>
      <x:c r="E23" s="67"/>
      <x:c r="F23" s="68" t="n">
        <x:v>0.1</x:v>
      </x:c>
      <x:c r="G23" s="67" t="n">
        <x:f>G22*F23</x:f>
        <x:v>12400000</x:v>
      </x:c>
      <x:c r="H23" s="58"/>
    </x:row>
    <x:row r="24" ht="28" customHeight="1">
      <x:c r="A24" s="69" t="str">
        <x:v>TỔNG THANH TOÁN / TOTAL PAYABLE</x:v>
      </x:c>
      <x:c r="B24" s="69"/>
      <x:c r="C24" s="69"/>
      <x:c r="D24" s="69"/>
      <x:c r="E24" s="70"/>
      <x:c r="F24" s="69"/>
      <x:c r="G24" s="70" t="n">
        <x:f>G22+G23</x:f>
        <x:v>136400000</x:v>
      </x:c>
      <x:c r="H24" s="58"/>
    </x:row>
    <x:row r="25">
      <x:c r="A25" s="58"/>
      <x:c r="B25" s="58"/>
      <x:c r="C25" s="58"/>
      <x:c r="D25" s="58"/>
      <x:c r="E25" s="58"/>
      <x:c r="F25" s="58"/>
      <x:c r="G25" s="58"/>
      <x:c r="H25" s="58"/>
    </x:row>
    <x:row r="26" ht="24" customHeight="1">
      <x:c r="A26" s="23" t="str">
        <x:v>LỊCH THANH TOÁN / PAYMENT SCHEDULE</x:v>
      </x:c>
      <x:c r="B26" s="23"/>
      <x:c r="C26" s="23"/>
      <x:c r="D26" s="23"/>
      <x:c r="E26" s="23"/>
      <x:c r="F26" s="23"/>
      <x:c r="G26" s="23"/>
      <x:c r="H26" s="23"/>
    </x:row>
    <x:row r="27">
      <x:c r="A27" s="71" t="str">
        <x:v>ĐỢT</x:v>
      </x:c>
      <x:c r="B27" s="72" t="str">
        <x:v>ĐIỀU KIỆN / CONDITION</x:v>
      </x:c>
      <x:c r="C27" s="72" t="str"/>
      <x:c r="D27" s="72" t="str"/>
      <x:c r="E27" s="72" t="str"/>
      <x:c r="F27" s="72" t="str">
        <x:v>TỶ LỆ</x:v>
      </x:c>
      <x:c r="G27" s="72" t="str">
        <x:v>SỐ TIỀN</x:v>
      </x:c>
      <x:c r="H27" s="73" t="str"/>
    </x:row>
    <x:row r="28">
      <x:c r="A28" s="74" t="n">
        <x:v>1</x:v>
      </x:c>
      <x:c r="B28" s="75" t="str">
        <x:v>Khi ký hợp đồng / Upon signing</x:v>
      </x:c>
      <x:c r="C28" s="75" t="str"/>
      <x:c r="D28" s="75" t="str"/>
      <x:c r="E28" s="75" t="str"/>
      <x:c r="F28" s="75" t="str">
        <x:v>50%</x:v>
      </x:c>
      <x:c r="G28" s="76" t="n">
        <x:f>$G$24*0.5</x:f>
        <x:v>68200000</x:v>
      </x:c>
      <x:c r="H28" s="77" t="str"/>
    </x:row>
    <x:row r="29">
      <x:c r="A29" s="74" t="n">
        <x:v>2</x:v>
      </x:c>
      <x:c r="B29" s="75" t="str">
        <x:v>Khi duyệt hướng đi / Direction approval</x:v>
      </x:c>
      <x:c r="C29" s="75" t="str"/>
      <x:c r="D29" s="75" t="str"/>
      <x:c r="E29" s="75" t="str"/>
      <x:c r="F29" s="75" t="str">
        <x:v>30%</x:v>
      </x:c>
      <x:c r="G29" s="76" t="n">
        <x:f>$G$24*0.3</x:f>
        <x:v>40920000</x:v>
      </x:c>
      <x:c r="H29" s="77" t="str"/>
    </x:row>
    <x:row r="30">
      <x:c r="A30" s="78" t="n">
        <x:v>3</x:v>
      </x:c>
      <x:c r="B30" s="79" t="str">
        <x:v>Sau nghiệm thu / Upon acceptance</x:v>
      </x:c>
      <x:c r="C30" s="79" t="str"/>
      <x:c r="D30" s="79" t="str"/>
      <x:c r="E30" s="79" t="str"/>
      <x:c r="F30" s="79" t="str">
        <x:v>20%</x:v>
      </x:c>
      <x:c r="G30" s="80" t="n">
        <x:f>$G$24*0.2</x:f>
        <x:v>27280000</x:v>
      </x:c>
      <x:c r="H30" s="81" t="str"/>
    </x:row>
    <x:row r="31">
      <x:c r="A31" s="58"/>
      <x:c r="B31" s="58"/>
      <x:c r="C31" s="58"/>
      <x:c r="D31" s="58"/>
      <x:c r="E31" s="58"/>
      <x:c r="F31" s="58"/>
      <x:c r="G31" s="58"/>
      <x:c r="H31" s="58"/>
    </x:row>
    <x:row r="32" ht="24" customHeight="1">
      <x:c r="A32" s="56" t="str">
        <x:v>Ghi chú / Notes
• Báo giá có hiệu lực 30 ngày.
• Phí tư vấn Brand Here, phí chuyên gia và chi phí bên thứ ba được trình bày riêng.
• Mọi phát sinh ngoài phạm vi phải được phê duyệt trước bằng văn bản.
• Quyền sử dụng, dữ liệu cá nhân và việc dùng AI tạo sinh được thống nhất trước khi triển khai.</x:v>
      </x:c>
      <x:c r="B32" s="56"/>
      <x:c r="C32" s="56"/>
      <x:c r="D32" s="56"/>
      <x:c r="E32" s="56"/>
      <x:c r="F32" s="56"/>
      <x:c r="G32" s="56"/>
      <x:c r="H32" s="56"/>
    </x:row>
    <x:row r="33" ht="24" customHeight="1">
      <x:c r="A33" s="56"/>
      <x:c r="B33" s="56"/>
      <x:c r="C33" s="56"/>
      <x:c r="D33" s="56"/>
      <x:c r="E33" s="56"/>
      <x:c r="F33" s="56"/>
      <x:c r="G33" s="56"/>
      <x:c r="H33" s="56"/>
    </x:row>
    <x:row r="34" ht="24" customHeight="1">
      <x:c r="A34" s="56"/>
      <x:c r="B34" s="56"/>
      <x:c r="C34" s="56"/>
      <x:c r="D34" s="56"/>
      <x:c r="E34" s="56"/>
      <x:c r="F34" s="56"/>
      <x:c r="G34" s="56"/>
      <x:c r="H34" s="56"/>
    </x:row>
  </x:sheetData>
  <x:mergeCells>
    <x:mergeCell ref="A1:B1"/>
    <x:mergeCell ref="C1:H1"/>
    <x:mergeCell ref="A2:H2"/>
    <x:mergeCell ref="A3:H3"/>
    <x:mergeCell ref="A22:F22"/>
    <x:mergeCell ref="A23:F23"/>
    <x:mergeCell ref="A24:F24"/>
    <x:mergeCell ref="A26:H26"/>
    <x:mergeCell ref="A32:H34"/>
  </x:mergeCells>
  <x:pageMargins left="0.7" right="0.7" top="0.75" bottom="0.75" header="0.3" footer="0.3"/>
  <x:drawing xmlns:r="http://schemas.openxmlformats.org/officeDocument/2006/relationships" r:id="R0b702626eeee4e1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4" hidden="0" customWidth="1"/>
    <x:col min="4" max="4" width="18" hidden="0" customWidth="1"/>
    <x:col min="5" max="5" width="12" hidden="0" customWidth="1"/>
    <x:col min="6" max="6" width="20" hidden="0" customWidth="1"/>
    <x:col min="7" max="7" width="28" hidden="0" customWidth="1"/>
  </x:cols>
  <x:sheetData>
    <x:row r="1" ht="34" customHeight="1">
      <x:c r="A1" s="82" t="str">
        <x:v>PRICE BUILDER / INTERNAL WORKING SHEET</x:v>
      </x:c>
      <x:c r="B1" s="82"/>
      <x:c r="C1" s="82"/>
      <x:c r="D1" s="82"/>
      <x:c r="E1" s="82"/>
      <x:c r="F1" s="82"/>
      <x:c r="G1" s="82"/>
    </x:row>
    <x:row r="2">
      <x:c r="A2" s="1"/>
      <x:c r="B2" s="1"/>
      <x:c r="C2" s="1"/>
      <x:c r="D2" s="1"/>
      <x:c r="E2" s="1"/>
      <x:c r="F2" s="1"/>
      <x:c r="G2" s="1"/>
    </x:row>
    <x:row r="3" ht="30" customHeight="1">
      <x:c r="A3" s="83" t="str">
        <x:v>SERVICE LAYER</x:v>
      </x:c>
      <x:c r="B3" s="83" t="str">
        <x:v>ROLE / RESOURCE</x:v>
      </x:c>
      <x:c r="C3" s="83" t="str">
        <x:v>DAYS / UNITS</x:v>
      </x:c>
      <x:c r="D3" s="83" t="str">
        <x:v>COST BASIS</x:v>
      </x:c>
      <x:c r="E3" s="83" t="str">
        <x:v>MARK-UP</x:v>
      </x:c>
      <x:c r="F3" s="83" t="str">
        <x:v>CLIENT FEE</x:v>
      </x:c>
      <x:c r="G3" s="83" t="str">
        <x:v>NOTES</x:v>
      </x:c>
    </x:row>
    <x:row r="4">
      <x:c r="A4" s="1" t="str">
        <x:v>Consulting</x:v>
      </x:c>
      <x:c r="B4" s="1" t="str">
        <x:v>Strategic lead</x:v>
      </x:c>
      <x:c r="C4" s="9" t="n">
        <x:v>5</x:v>
      </x:c>
      <x:c r="D4" s="85" t="n">
        <x:v>8000000</x:v>
      </x:c>
      <x:c r="E4" s="86" t="n">
        <x:v>0.35</x:v>
      </x:c>
      <x:c r="F4" s="31" t="n">
        <x:f>C4*D4*(1+E4)</x:f>
        <x:v>54000000</x:v>
      </x:c>
      <x:c r="G4" s="1" t="str">
        <x:v>Brand Here accountable lead</x:v>
      </x:c>
    </x:row>
    <x:row r="5">
      <x:c r="A5" s="1" t="str">
        <x:v>Consulting</x:v>
      </x:c>
      <x:c r="B5" s="1" t="str">
        <x:v>Research / synthesis</x:v>
      </x:c>
      <x:c r="C5" s="9" t="n">
        <x:v>4</x:v>
      </x:c>
      <x:c r="D5" s="85" t="n">
        <x:v>4500000</x:v>
      </x:c>
      <x:c r="E5" s="86" t="n">
        <x:v>0.35</x:v>
      </x:c>
      <x:c r="F5" s="31" t="n">
        <x:f>C5*D5*(1+E5)</x:f>
        <x:v>24300000</x:v>
      </x:c>
      <x:c r="G5" s="1" t="str"/>
    </x:row>
    <x:row r="6">
      <x:c r="A6" s="1" t="str">
        <x:v>Expert</x:v>
      </x:c>
      <x:c r="B6" s="1" t="str">
        <x:v>Specialist advisor</x:v>
      </x:c>
      <x:c r="C6" s="9" t="n">
        <x:v>2</x:v>
      </x:c>
      <x:c r="D6" s="85" t="n">
        <x:v>9000000</x:v>
      </x:c>
      <x:c r="E6" s="86" t="n">
        <x:v>0.2</x:v>
      </x:c>
      <x:c r="F6" s="31" t="n">
        <x:f>C6*D6*(1+E6)</x:f>
        <x:v>21600000</x:v>
      </x:c>
      <x:c r="G6" s="1" t="str">
        <x:v>Approved separately</x:v>
      </x:c>
    </x:row>
    <x:row r="7">
      <x:c r="A7" s="1" t="str">
        <x:v>Third party</x:v>
      </x:c>
      <x:c r="B7" s="1" t="str">
        <x:v>Production partner</x:v>
      </x:c>
      <x:c r="C7" s="9" t="n">
        <x:v>1</x:v>
      </x:c>
      <x:c r="D7" s="85" t="n">
        <x:v>30000000</x:v>
      </x:c>
      <x:c r="E7" s="86" t="n">
        <x:v>0.15</x:v>
      </x:c>
      <x:c r="F7" s="31" t="n">
        <x:f>C7*D7*(1+E7)</x:f>
        <x:v>34500000</x:v>
      </x:c>
      <x:c r="G7" s="1" t="str">
        <x:v>Pass-through with agreed management</x:v>
      </x:c>
    </x:row>
    <x:row r="8">
      <x:c r="A8" s="1" t="str">
        <x:v>Third party</x:v>
      </x:c>
      <x:c r="B8" s="1" t="str">
        <x:v>Technology partner</x:v>
      </x:c>
      <x:c r="C8" s="9" t="n">
        <x:v>1</x:v>
      </x:c>
      <x:c r="D8" s="85" t="n">
        <x:v>25000000</x:v>
      </x:c>
      <x:c r="E8" s="86" t="n">
        <x:v>0.15</x:v>
      </x:c>
      <x:c r="F8" s="31" t="n">
        <x:f>C8*D8*(1+E8)</x:f>
        <x:v>28749999.999999996</x:v>
      </x:c>
      <x:c r="G8" s="1" t="str"/>
    </x:row>
    <x:row r="9">
      <x:c r="A9" s="1"/>
      <x:c r="B9" s="1"/>
      <x:c r="C9" s="1"/>
      <x:c r="D9" s="1"/>
      <x:c r="E9" s="1"/>
      <x:c r="F9" s="1"/>
      <x:c r="G9" s="1"/>
    </x:row>
    <x:row r="10">
      <x:c r="A10" s="87" t="str">
        <x:v>TOTAL BUILT FEE</x:v>
      </x:c>
      <x:c r="B10" s="87"/>
      <x:c r="C10" s="87"/>
      <x:c r="D10" s="87"/>
      <x:c r="E10" s="87"/>
      <x:c r="F10" s="88" t="n">
        <x:f>SUM(F4:F8)</x:f>
        <x:v>163150000</x:v>
      </x:c>
      <x:c r="G10" s="1"/>
    </x:row>
  </x:sheetData>
  <x:mergeCells>
    <x:mergeCell ref="A1:G1"/>
    <x:mergeCell ref="A10:E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0" hidden="0" customWidth="1"/>
    <x:col min="5" max="5" width="10" hidden="0" customWidth="1"/>
    <x:col min="6" max="6" width="10" hidden="0" customWidth="1"/>
  </x:cols>
  <x:sheetData>
    <x:row r="1" ht="34" customHeight="1">
      <x:c r="A1" s="82" t="str">
        <x:v>HOW TO USE THIS QUOTATION</x:v>
      </x:c>
      <x:c r="B1" s="82"/>
      <x:c r="C1" s="82"/>
      <x:c r="D1" s="82"/>
      <x:c r="E1" s="82"/>
      <x:c r="F1" s="82"/>
    </x:row>
    <x:row r="2">
      <x:c r="A2" s="1"/>
      <x:c r="B2" s="1"/>
      <x:c r="C2" s="1"/>
      <x:c r="D2" s="1"/>
      <x:c r="E2" s="1"/>
      <x:c r="F2" s="1"/>
    </x:row>
    <x:row r="3">
      <x:c r="A3" s="89" t="str">
        <x:v>01</x:v>
      </x:c>
      <x:c r="B3" s="90" t="str">
        <x:v>Blue cells</x:v>
      </x:c>
      <x:c r="C3" s="91" t="str">
        <x:v>Editable client, project, rate and quantity inputs</x:v>
      </x:c>
      <x:c r="D3" s="91" t="str"/>
      <x:c r="E3" s="91" t="str"/>
      <x:c r="F3" s="91" t="str"/>
    </x:row>
    <x:row r="4">
      <x:c r="A4" s="89" t="str">
        <x:v>02</x:v>
      </x:c>
      <x:c r="B4" s="90" t="str">
        <x:v>Formula cells</x:v>
      </x:c>
      <x:c r="C4" s="91" t="str">
        <x:v>Do not overwrite line totals, subtotals, VAT or payment schedule formulas</x:v>
      </x:c>
      <x:c r="D4" s="91" t="str"/>
      <x:c r="E4" s="91" t="str"/>
      <x:c r="F4" s="91" t="str"/>
    </x:row>
    <x:row r="5">
      <x:c r="A5" s="89" t="str">
        <x:v>03</x:v>
      </x:c>
      <x:c r="B5" s="90" t="str">
        <x:v>Consulting fee</x:v>
      </x:c>
      <x:c r="C5" s="91" t="str">
        <x:v>Brand Here strategy, direction and accountable lead</x:v>
      </x:c>
      <x:c r="D5" s="91" t="str"/>
      <x:c r="E5" s="91" t="str"/>
      <x:c r="F5" s="91" t="str"/>
    </x:row>
    <x:row r="6">
      <x:c r="A6" s="89" t="str">
        <x:v>04</x:v>
      </x:c>
      <x:c r="B6" s="90" t="str">
        <x:v>Expert fee</x:v>
      </x:c>
      <x:c r="C6" s="91" t="str">
        <x:v>Specialist advisory used only where it materially strengthens the decision</x:v>
      </x:c>
      <x:c r="D6" s="91" t="str"/>
      <x:c r="E6" s="91" t="str"/>
      <x:c r="F6" s="91" t="str"/>
    </x:row>
    <x:row r="7">
      <x:c r="A7" s="89" t="str">
        <x:v>05</x:v>
      </x:c>
      <x:c r="B7" s="90" t="str">
        <x:v>Third-party cost</x:v>
      </x:c>
      <x:c r="C7" s="91" t="str">
        <x:v>Production, technology, media and other approved external suppliers</x:v>
      </x:c>
      <x:c r="D7" s="91" t="str"/>
      <x:c r="E7" s="91" t="str"/>
      <x:c r="F7" s="91" t="str"/>
    </x:row>
    <x:row r="8">
      <x:c r="A8" s="89" t="str">
        <x:v>06</x:v>
      </x:c>
      <x:c r="B8" s="90" t="str">
        <x:v>Scope control</x:v>
      </x:c>
      <x:c r="C8" s="91" t="str">
        <x:v>Quote changes before work begins; never hide them inside delivery</x:v>
      </x:c>
      <x:c r="D8" s="91" t="str"/>
      <x:c r="E8" s="91" t="str"/>
      <x:c r="F8" s="91" t="str"/>
    </x:row>
    <x:row r="9">
      <x:c r="A9" s="89" t="str">
        <x:v>07</x:v>
      </x:c>
      <x:c r="B9" s="90" t="str">
        <x:v>Responsible AI</x:v>
      </x:c>
      <x:c r="C9" s="91" t="str">
        <x:v>Confirm data handling, permissions, usage rights and generative-AI workflow</x:v>
      </x:c>
      <x:c r="D9" s="91" t="str"/>
      <x:c r="E9" s="91" t="str"/>
      <x:c r="F9" s="91" t="str"/>
    </x:row>
    <x:row r="10">
      <x:c r="A10" s="89" t="str">
        <x:v>08</x:v>
      </x:c>
      <x:c r="B10" s="90" t="str">
        <x:v>Commercial clarity</x:v>
      </x:c>
      <x:c r="C10" s="91" t="str">
        <x:v>Attach the matching Proposal / Statement of Work</x:v>
      </x:c>
      <x:c r="D10" s="91" t="str"/>
      <x:c r="E10" s="91" t="str"/>
      <x:c r="F10" s="91" t="str"/>
    </x:row>
  </x:sheetData>
  <x:mergeCells>
    <x:mergeCell ref="A1:F1"/>
  </x:mergeCells>
  <x:pageMargins left="0.7" right="0.7" top="0.75" bottom="0.75" header="0.3" footer="0.3"/>
</x:worksheet>
</file>